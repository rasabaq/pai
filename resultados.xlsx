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mon\Documents\GitHub\pai\"/>
    </mc:Choice>
  </mc:AlternateContent>
  <xr:revisionPtr revIDLastSave="0" documentId="8_{28A0EFF7-A92A-48B5-8CB5-0A4C61142D12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Resul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12" i="1" l="1"/>
  <c r="E2" i="1"/>
  <c r="I12" i="1"/>
  <c r="G12" i="1"/>
  <c r="F12" i="1"/>
  <c r="C12" i="1"/>
  <c r="H11" i="1"/>
  <c r="E11" i="1"/>
  <c r="H10" i="1"/>
  <c r="E10" i="1"/>
  <c r="H9" i="1"/>
  <c r="E9" i="1"/>
  <c r="H8" i="1"/>
  <c r="E8" i="1"/>
  <c r="H7" i="1"/>
  <c r="E7" i="1"/>
  <c r="H6" i="1"/>
  <c r="E6" i="1"/>
  <c r="H5" i="1"/>
  <c r="E5" i="1"/>
  <c r="H4" i="1"/>
  <c r="E4" i="1"/>
  <c r="H3" i="1"/>
  <c r="E3" i="1"/>
  <c r="H2" i="1"/>
  <c r="E12" i="1" l="1"/>
  <c r="H12" i="1"/>
</calcChain>
</file>

<file path=xl/sharedStrings.xml><?xml version="1.0" encoding="utf-8"?>
<sst xmlns="http://schemas.openxmlformats.org/spreadsheetml/2006/main" count="12" uniqueCount="10">
  <si>
    <t>#</t>
  </si>
  <si>
    <t>Instancias</t>
  </si>
  <si>
    <t>Mejor Sol. Con.</t>
  </si>
  <si>
    <t>Costo de B&amp;B</t>
  </si>
  <si>
    <t>GAP (%)</t>
  </si>
  <si>
    <t>Tiempo (seg)</t>
  </si>
  <si>
    <t>Costo de estrategia tarea 1</t>
  </si>
  <si>
    <t>Promedio</t>
  </si>
  <si>
    <t>Mejor Sol. Con. = Mejor solución conocida entre el branch and bound y heurística de la tarea 1</t>
  </si>
  <si>
    <t>GAP (el error relativo) =  ((costo obtenido (cota superior) - costo de la mejor solución conocida) / costo de la mejor solución conocida) * 100)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</si>
</sst>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zoomScale="130" zoomScaleNormal="130" workbookViewId="0">
      <selection activeCell="D12" sqref="D12"/>
    </sheetView>
  </sheetViews>
  <sheetFormatPr baseColWidth="10" defaultColWidth="11.5703125" defaultRowHeight="12.75" x14ac:dyDescent="0.2"/>
  <cols>
    <col min="1" max="1" width="3.5703125" customWidth="1"/>
    <col min="2" max="2" width="12.140625" customWidth="1"/>
    <col min="3" max="3" width="13" customWidth="1"/>
    <col min="4" max="4" width="18.140625" customWidth="1"/>
    <col min="5" max="5" width="8.7109375" customWidth="1"/>
    <col min="6" max="6" width="12.140625" customWidth="1"/>
    <col min="7" max="7" width="23.28515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</row>
    <row r="2" spans="1:9" x14ac:dyDescent="0.2">
      <c r="A2">
        <v>1</v>
      </c>
      <c r="B2">
        <v>1</v>
      </c>
      <c r="C2" s="1">
        <v>19</v>
      </c>
      <c r="D2" s="1">
        <v>19</v>
      </c>
      <c r="E2" s="2">
        <f>(D2-C2)/C2*100</f>
        <v>0</v>
      </c>
      <c r="F2" s="2">
        <v>1.435E-2</v>
      </c>
      <c r="G2" s="1">
        <v>22</v>
      </c>
      <c r="H2" s="2">
        <f t="shared" ref="H2:H11" si="0">(G2-C2)/C2*100</f>
        <v>15.789473684210526</v>
      </c>
      <c r="I2" s="2">
        <v>2.0000000000000001E-4</v>
      </c>
    </row>
    <row r="3" spans="1:9" x14ac:dyDescent="0.2">
      <c r="A3">
        <v>2</v>
      </c>
      <c r="B3">
        <v>2</v>
      </c>
      <c r="C3" s="1">
        <v>22</v>
      </c>
      <c r="D3" s="1">
        <v>22</v>
      </c>
      <c r="E3" s="2">
        <f t="shared" ref="E2:E11" si="1">(D3-C3)/C3*100</f>
        <v>0</v>
      </c>
      <c r="F3" s="2">
        <v>0.1777</v>
      </c>
      <c r="G3" s="1">
        <v>34</v>
      </c>
      <c r="H3" s="2">
        <f t="shared" si="0"/>
        <v>54.54545454545454</v>
      </c>
      <c r="I3" s="2">
        <v>2.9999999999999997E-4</v>
      </c>
    </row>
    <row r="4" spans="1:9" x14ac:dyDescent="0.2">
      <c r="A4">
        <v>3</v>
      </c>
      <c r="B4">
        <v>3</v>
      </c>
      <c r="C4" s="1">
        <v>40</v>
      </c>
      <c r="D4" s="1">
        <v>40</v>
      </c>
      <c r="E4" s="2">
        <f t="shared" si="1"/>
        <v>0</v>
      </c>
      <c r="F4" s="2">
        <v>0.34110000000000001</v>
      </c>
      <c r="G4" s="1">
        <v>46</v>
      </c>
      <c r="H4" s="2">
        <f t="shared" si="0"/>
        <v>15</v>
      </c>
      <c r="I4" s="2">
        <v>5.0000000000000001E-4</v>
      </c>
    </row>
    <row r="5" spans="1:9" x14ac:dyDescent="0.2">
      <c r="A5">
        <v>4</v>
      </c>
      <c r="B5">
        <v>4</v>
      </c>
      <c r="C5" s="1">
        <v>52</v>
      </c>
      <c r="D5" s="1">
        <v>52</v>
      </c>
      <c r="E5" s="2">
        <f t="shared" si="1"/>
        <v>0</v>
      </c>
      <c r="F5" s="2">
        <v>1.24</v>
      </c>
      <c r="G5" s="1">
        <v>58</v>
      </c>
      <c r="H5" s="2">
        <f t="shared" si="0"/>
        <v>11.538461538461538</v>
      </c>
      <c r="I5" s="2">
        <v>1.4E-3</v>
      </c>
    </row>
    <row r="6" spans="1:9" x14ac:dyDescent="0.2">
      <c r="A6">
        <v>5</v>
      </c>
      <c r="B6">
        <v>5</v>
      </c>
      <c r="C6" s="1">
        <v>67</v>
      </c>
      <c r="D6" s="1">
        <v>67</v>
      </c>
      <c r="E6" s="2">
        <f t="shared" si="1"/>
        <v>0</v>
      </c>
      <c r="F6" s="2">
        <v>9.5623000000000005</v>
      </c>
      <c r="G6" s="1">
        <v>73</v>
      </c>
      <c r="H6" s="2">
        <f t="shared" si="0"/>
        <v>8.9552238805970141</v>
      </c>
      <c r="I6" s="2">
        <v>2.3E-3</v>
      </c>
    </row>
    <row r="7" spans="1:9" x14ac:dyDescent="0.2">
      <c r="A7">
        <v>6</v>
      </c>
      <c r="B7">
        <v>6</v>
      </c>
      <c r="C7" s="1">
        <v>73</v>
      </c>
      <c r="D7" s="1">
        <v>73</v>
      </c>
      <c r="E7" s="2">
        <f t="shared" si="1"/>
        <v>0</v>
      </c>
      <c r="F7" s="2">
        <v>14.898899999999999</v>
      </c>
      <c r="G7" s="1">
        <v>92</v>
      </c>
      <c r="H7" s="2">
        <f t="shared" si="0"/>
        <v>26.027397260273972</v>
      </c>
      <c r="I7" s="2">
        <v>3.0999999999999999E-3</v>
      </c>
    </row>
    <row r="8" spans="1:9" x14ac:dyDescent="0.2">
      <c r="A8">
        <v>7</v>
      </c>
      <c r="B8">
        <v>7</v>
      </c>
      <c r="C8" s="1">
        <v>110</v>
      </c>
      <c r="D8" s="1">
        <v>110</v>
      </c>
      <c r="E8" s="2">
        <f t="shared" si="1"/>
        <v>0</v>
      </c>
      <c r="F8" s="2">
        <v>5.2840999999999996</v>
      </c>
      <c r="G8" s="1">
        <v>117</v>
      </c>
      <c r="H8" s="2">
        <f t="shared" si="0"/>
        <v>6.3636363636363633</v>
      </c>
      <c r="I8" s="2">
        <v>2E-3</v>
      </c>
    </row>
    <row r="9" spans="1:9" x14ac:dyDescent="0.2">
      <c r="A9">
        <v>8</v>
      </c>
      <c r="B9">
        <v>8</v>
      </c>
      <c r="C9" s="1">
        <v>133</v>
      </c>
      <c r="D9" s="1">
        <v>133</v>
      </c>
      <c r="E9" s="2">
        <f t="shared" si="1"/>
        <v>0</v>
      </c>
      <c r="F9" s="2">
        <v>7.5852000000000004</v>
      </c>
      <c r="G9" s="1">
        <v>140</v>
      </c>
      <c r="H9" s="2">
        <f t="shared" si="0"/>
        <v>5.2631578947368416</v>
      </c>
      <c r="I9" s="2">
        <v>1.5E-3</v>
      </c>
    </row>
    <row r="10" spans="1:9" x14ac:dyDescent="0.2">
      <c r="A10">
        <v>9</v>
      </c>
      <c r="B10">
        <v>9</v>
      </c>
      <c r="C10" s="1">
        <v>154</v>
      </c>
      <c r="D10" s="1">
        <v>154</v>
      </c>
      <c r="E10" s="2">
        <f t="shared" si="1"/>
        <v>0</v>
      </c>
      <c r="F10" s="2">
        <v>32.424399999999999</v>
      </c>
      <c r="G10" s="1">
        <v>160</v>
      </c>
      <c r="H10" s="2">
        <f t="shared" si="0"/>
        <v>3.8961038961038961</v>
      </c>
      <c r="I10" s="2">
        <v>4.0000000000000001E-3</v>
      </c>
    </row>
    <row r="11" spans="1:9" x14ac:dyDescent="0.2">
      <c r="A11">
        <v>10</v>
      </c>
      <c r="B11">
        <v>10</v>
      </c>
      <c r="C11" s="1">
        <v>186</v>
      </c>
      <c r="D11" s="1">
        <v>190</v>
      </c>
      <c r="E11" s="2">
        <f t="shared" si="1"/>
        <v>2.1505376344086025</v>
      </c>
      <c r="F11" s="2">
        <v>23.979600000000001</v>
      </c>
      <c r="G11" s="1">
        <v>186</v>
      </c>
      <c r="H11" s="2">
        <f t="shared" si="0"/>
        <v>0</v>
      </c>
      <c r="I11" s="2">
        <v>4.5999999999999999E-3</v>
      </c>
    </row>
    <row r="12" spans="1:9" x14ac:dyDescent="0.2">
      <c r="B12" t="s">
        <v>7</v>
      </c>
      <c r="C12" s="2">
        <f t="shared" ref="C12:I12" si="2">AVERAGE(C2:C11)</f>
        <v>85.6</v>
      </c>
      <c r="D12" s="2">
        <f>AVERAGE(D2:D11)</f>
        <v>86</v>
      </c>
      <c r="E12" s="2">
        <f t="shared" si="2"/>
        <v>0.21505376344086025</v>
      </c>
      <c r="F12" s="2">
        <f t="shared" si="2"/>
        <v>9.5507650000000019</v>
      </c>
      <c r="G12" s="2">
        <f t="shared" si="2"/>
        <v>92.8</v>
      </c>
      <c r="H12" s="2">
        <f t="shared" si="2"/>
        <v>14.73789090634747</v>
      </c>
      <c r="I12" s="2">
        <f t="shared" si="2"/>
        <v>1.99E-3</v>
      </c>
    </row>
    <row r="14" spans="1:9" x14ac:dyDescent="0.2">
      <c r="C14" t="s">
        <v>8</v>
      </c>
    </row>
    <row r="15" spans="1:9" x14ac:dyDescent="0.2">
      <c r="C15" t="s">
        <v>9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227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ramon</dc:creator>
  <dc:description/>
  <cp:lastModifiedBy>Ramón Sebastián Sánchez Baquedano</cp:lastModifiedBy>
  <cp:revision>19</cp:revision>
  <dcterms:created xsi:type="dcterms:W3CDTF">2021-07-16T22:08:46Z</dcterms:created>
  <dcterms:modified xsi:type="dcterms:W3CDTF">2025-12-06T17:14:35Z</dcterms:modified>
  <dc:language>es-CL</dc:language>
</cp:coreProperties>
</file>